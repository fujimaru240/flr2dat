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fjmr5125\dev\ruby\flr2dat\input\"/>
    </mc:Choice>
  </mc:AlternateContent>
  <xr:revisionPtr revIDLastSave="0" documentId="13_ncr:1_{31F6B3BF-A081-4C11-90CE-CBC00289A788}" xr6:coauthVersionLast="47" xr6:coauthVersionMax="47" xr10:uidLastSave="{00000000-0000-0000-0000-000000000000}"/>
  <bookViews>
    <workbookView xWindow="-120" yWindow="-120" windowWidth="29040" windowHeight="15720" tabRatio="740" activeTab="7" xr2:uid="{00000000-000D-0000-FFFF-FFFF00000000}"/>
  </bookViews>
  <sheets>
    <sheet name="root" sheetId="12" r:id="rId1"/>
    <sheet name="fmt_jis8" sheetId="14" r:id="rId2"/>
    <sheet name="fmt_ebcdic" sheetId="15" r:id="rId3"/>
    <sheet name="group" sheetId="2" r:id="rId4"/>
    <sheet name="fmt_h" sheetId="8" r:id="rId5"/>
    <sheet name="fmt_d" sheetId="9" r:id="rId6"/>
    <sheet name="fmt_t" sheetId="10" r:id="rId7"/>
    <sheet name="01_h" sheetId="7" r:id="rId8"/>
    <sheet name="01_d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5" l="1"/>
  <c r="B2" i="15"/>
  <c r="C2" i="14"/>
  <c r="B2" i="14"/>
  <c r="C2" i="8"/>
  <c r="B2" i="8"/>
  <c r="C2" i="9"/>
  <c r="B2" i="9"/>
  <c r="C2" i="10"/>
  <c r="B2" i="10"/>
  <c r="C2" i="11"/>
  <c r="C2" i="12"/>
  <c r="B2" i="12"/>
  <c r="C2" i="7"/>
  <c r="B2" i="11"/>
  <c r="C5" i="7" s="1"/>
  <c r="B2" i="7" s="1"/>
  <c r="B2" i="2"/>
  <c r="C2" i="2"/>
</calcChain>
</file>

<file path=xl/sharedStrings.xml><?xml version="1.0" encoding="utf-8"?>
<sst xmlns="http://schemas.openxmlformats.org/spreadsheetml/2006/main" count="177" uniqueCount="97">
  <si>
    <t>ファイル区分</t>
    <rPh sb="4" eb="6">
      <t>クブン</t>
    </rPh>
    <phoneticPr fontId="1"/>
  </si>
  <si>
    <t>レコード区分</t>
    <rPh sb="4" eb="6">
      <t>クブン</t>
    </rPh>
    <phoneticPr fontId="1"/>
  </si>
  <si>
    <t>ダミー</t>
    <phoneticPr fontId="1"/>
  </si>
  <si>
    <t>団体コード</t>
    <rPh sb="0" eb="2">
      <t>ダンタイ</t>
    </rPh>
    <phoneticPr fontId="1"/>
  </si>
  <si>
    <t>会社コード</t>
    <rPh sb="0" eb="2">
      <t>カイシャ</t>
    </rPh>
    <phoneticPr fontId="1"/>
  </si>
  <si>
    <t>年末調整対象年度</t>
    <rPh sb="0" eb="8">
      <t>ネンマツチョウセイタイショウネンド</t>
    </rPh>
    <phoneticPr fontId="1"/>
  </si>
  <si>
    <t>テープ作成年月日</t>
    <rPh sb="3" eb="8">
      <t>サクセイネンガッピ</t>
    </rPh>
    <phoneticPr fontId="1"/>
  </si>
  <si>
    <t>データ種別</t>
    <rPh sb="3" eb="5">
      <t>シュベツ</t>
    </rPh>
    <phoneticPr fontId="1"/>
  </si>
  <si>
    <t>伝送用団体コード</t>
    <rPh sb="0" eb="3">
      <t>デンソウヨウ</t>
    </rPh>
    <rPh sb="3" eb="5">
      <t>ダンタイ</t>
    </rPh>
    <phoneticPr fontId="1"/>
  </si>
  <si>
    <t>送信方向</t>
    <rPh sb="0" eb="4">
      <t>ソウシンホウコウ</t>
    </rPh>
    <phoneticPr fontId="1"/>
  </si>
  <si>
    <t>業務種別</t>
    <rPh sb="0" eb="4">
      <t>ギョウムシュベツ</t>
    </rPh>
    <phoneticPr fontId="1"/>
  </si>
  <si>
    <t>テスト区分</t>
    <rPh sb="3" eb="5">
      <t>クブン</t>
    </rPh>
    <phoneticPr fontId="1"/>
  </si>
  <si>
    <t>生保任意仕様欄</t>
    <rPh sb="0" eb="2">
      <t>セイホ</t>
    </rPh>
    <rPh sb="2" eb="4">
      <t>ニンイ</t>
    </rPh>
    <rPh sb="4" eb="6">
      <t>シヨウ</t>
    </rPh>
    <rPh sb="6" eb="7">
      <t>ラン</t>
    </rPh>
    <phoneticPr fontId="1"/>
  </si>
  <si>
    <t>テスト生命</t>
    <rPh sb="3" eb="5">
      <t>セイメイ</t>
    </rPh>
    <phoneticPr fontId="1"/>
  </si>
  <si>
    <t>氏名コード</t>
    <rPh sb="0" eb="2">
      <t>シメイ</t>
    </rPh>
    <phoneticPr fontId="1"/>
  </si>
  <si>
    <t>証券記号番号</t>
    <rPh sb="0" eb="6">
      <t>ショウケンキゴウバンゴウ</t>
    </rPh>
    <phoneticPr fontId="1"/>
  </si>
  <si>
    <t>保険種類</t>
    <rPh sb="0" eb="4">
      <t>ホケンシュルイ</t>
    </rPh>
    <phoneticPr fontId="1"/>
  </si>
  <si>
    <t>保険期間</t>
    <rPh sb="0" eb="4">
      <t>ホケンキカン</t>
    </rPh>
    <phoneticPr fontId="1"/>
  </si>
  <si>
    <t>配当支払方法</t>
    <rPh sb="0" eb="4">
      <t>ハイトウシハラ</t>
    </rPh>
    <rPh sb="4" eb="6">
      <t>ホウホウ</t>
    </rPh>
    <phoneticPr fontId="1"/>
  </si>
  <si>
    <t>年間払込保険料</t>
    <rPh sb="0" eb="7">
      <t>ネンカンハライコミホケンリョウ</t>
    </rPh>
    <phoneticPr fontId="1"/>
  </si>
  <si>
    <t>年調対象配当金</t>
    <rPh sb="0" eb="1">
      <t>トシ</t>
    </rPh>
    <rPh sb="1" eb="2">
      <t>チョウ</t>
    </rPh>
    <rPh sb="2" eb="4">
      <t>タイショウ</t>
    </rPh>
    <rPh sb="4" eb="7">
      <t>ハイトウキン</t>
    </rPh>
    <phoneticPr fontId="1"/>
  </si>
  <si>
    <t>差引保険料</t>
    <rPh sb="0" eb="1">
      <t>サ</t>
    </rPh>
    <rPh sb="1" eb="2">
      <t>ヒ</t>
    </rPh>
    <rPh sb="2" eb="5">
      <t>ホケンリョウ</t>
    </rPh>
    <phoneticPr fontId="1"/>
  </si>
  <si>
    <t>A0001</t>
    <phoneticPr fontId="1"/>
  </si>
  <si>
    <t>差引保険料符号</t>
    <rPh sb="1" eb="6">
      <t>ホケンリョウフゴウ</t>
    </rPh>
    <phoneticPr fontId="1"/>
  </si>
  <si>
    <t>消滅符号</t>
    <rPh sb="0" eb="4">
      <t>ショウメツフゴウ</t>
    </rPh>
    <phoneticPr fontId="1"/>
  </si>
  <si>
    <t>保険料控除区分</t>
    <rPh sb="0" eb="7">
      <t>ホケンリョウコウジョクブン</t>
    </rPh>
    <phoneticPr fontId="1"/>
  </si>
  <si>
    <t>年金支払開始</t>
    <rPh sb="0" eb="2">
      <t>ネンキン</t>
    </rPh>
    <rPh sb="2" eb="4">
      <t>シハラ</t>
    </rPh>
    <rPh sb="4" eb="6">
      <t>カイシ</t>
    </rPh>
    <phoneticPr fontId="1"/>
  </si>
  <si>
    <t>所属コード</t>
    <rPh sb="0" eb="2">
      <t>ショゾク</t>
    </rPh>
    <phoneticPr fontId="1"/>
  </si>
  <si>
    <t>ボーナス払区分</t>
    <rPh sb="4" eb="5">
      <t>バラ</t>
    </rPh>
    <rPh sb="5" eb="7">
      <t>クブン</t>
    </rPh>
    <phoneticPr fontId="1"/>
  </si>
  <si>
    <t>align</t>
    <phoneticPr fontId="1"/>
  </si>
  <si>
    <t>left</t>
  </si>
  <si>
    <t>left</t>
    <phoneticPr fontId="1"/>
  </si>
  <si>
    <t>合計件数</t>
    <rPh sb="0" eb="4">
      <t>ゴウケイケンスウ</t>
    </rPh>
    <phoneticPr fontId="1"/>
  </si>
  <si>
    <t>生保任意使用欄</t>
    <rPh sb="0" eb="2">
      <t>セイホ</t>
    </rPh>
    <rPh sb="2" eb="4">
      <t>ニンイ</t>
    </rPh>
    <rPh sb="4" eb="6">
      <t>シヨウ</t>
    </rPh>
    <rPh sb="6" eb="7">
      <t>ラン</t>
    </rPh>
    <phoneticPr fontId="1"/>
  </si>
  <si>
    <t>byte_size</t>
    <phoneticPr fontId="1"/>
  </si>
  <si>
    <t>value</t>
    <phoneticPr fontId="1"/>
  </si>
  <si>
    <t>$団体コード</t>
    <rPh sb="1" eb="3">
      <t>ダンタイ</t>
    </rPh>
    <phoneticPr fontId="1"/>
  </si>
  <si>
    <t>$会社コード</t>
    <rPh sb="1" eb="3">
      <t>カイシャ</t>
    </rPh>
    <phoneticPr fontId="1"/>
  </si>
  <si>
    <t>$対象年度</t>
    <phoneticPr fontId="1"/>
  </si>
  <si>
    <t>$テープ作成年月日</t>
    <phoneticPr fontId="1"/>
  </si>
  <si>
    <t>$伝送用団体コード</t>
    <phoneticPr fontId="1"/>
  </si>
  <si>
    <t>sheet$01_h</t>
    <phoneticPr fontId="1"/>
  </si>
  <si>
    <t>sheet$01_d</t>
    <phoneticPr fontId="1"/>
  </si>
  <si>
    <t>A0002</t>
    <phoneticPr fontId="1"/>
  </si>
  <si>
    <t>$氏名コード</t>
    <phoneticPr fontId="1"/>
  </si>
  <si>
    <t>$会社コード</t>
    <phoneticPr fontId="1"/>
  </si>
  <si>
    <t>$証券記号番号</t>
    <phoneticPr fontId="1"/>
  </si>
  <si>
    <t>$保険種類</t>
    <phoneticPr fontId="1"/>
  </si>
  <si>
    <t>$保険期間</t>
    <phoneticPr fontId="1"/>
  </si>
  <si>
    <t>$配当支払方法</t>
    <phoneticPr fontId="1"/>
  </si>
  <si>
    <t>$年間払込保険料</t>
    <phoneticPr fontId="1"/>
  </si>
  <si>
    <t>$年調対象配当金</t>
    <phoneticPr fontId="1"/>
  </si>
  <si>
    <t>$差引保険料</t>
    <phoneticPr fontId="1"/>
  </si>
  <si>
    <t>$差引保険料符号</t>
    <phoneticPr fontId="1"/>
  </si>
  <si>
    <t>$消滅符号</t>
    <phoneticPr fontId="1"/>
  </si>
  <si>
    <t>$保険料控除区分</t>
    <phoneticPr fontId="1"/>
  </si>
  <si>
    <t>$年金支払開始</t>
    <phoneticPr fontId="1"/>
  </si>
  <si>
    <t>$所属コード</t>
    <phoneticPr fontId="1"/>
  </si>
  <si>
    <t>$ボーナス払区分</t>
    <phoneticPr fontId="1"/>
  </si>
  <si>
    <t>sheet$fmt_h</t>
    <phoneticPr fontId="1"/>
  </si>
  <si>
    <t>sheet$fmt_d</t>
    <phoneticPr fontId="1"/>
  </si>
  <si>
    <t>sheet$fmt_t</t>
    <phoneticPr fontId="1"/>
  </si>
  <si>
    <t>$データ件数</t>
    <rPh sb="4" eb="6">
      <t>ケンスウ</t>
    </rPh>
    <phoneticPr fontId="1"/>
  </si>
  <si>
    <t>sheet$group</t>
    <phoneticPr fontId="1"/>
  </si>
  <si>
    <t>item</t>
    <phoneticPr fontId="1"/>
  </si>
  <si>
    <t>$テープ作成年月日</t>
    <rPh sb="4" eb="9">
      <t>サクセイネンガッピ</t>
    </rPh>
    <phoneticPr fontId="1"/>
  </si>
  <si>
    <t>$伝送用団体コード</t>
    <rPh sb="1" eb="6">
      <t>デンソウヨウダンタイ</t>
    </rPh>
    <phoneticPr fontId="1"/>
  </si>
  <si>
    <t>$氏名コード</t>
    <rPh sb="1" eb="3">
      <t>シメイ</t>
    </rPh>
    <phoneticPr fontId="1"/>
  </si>
  <si>
    <t>$証券記号番号</t>
    <rPh sb="1" eb="7">
      <t>ショウケンキゴウバンゴウ</t>
    </rPh>
    <phoneticPr fontId="1"/>
  </si>
  <si>
    <t>$保険種類</t>
    <rPh sb="1" eb="5">
      <t>ホケンシュルイ</t>
    </rPh>
    <phoneticPr fontId="1"/>
  </si>
  <si>
    <t>$保険期間</t>
    <rPh sb="1" eb="5">
      <t>ホケンキカン</t>
    </rPh>
    <phoneticPr fontId="1"/>
  </si>
  <si>
    <t>$配当支払方法</t>
    <rPh sb="1" eb="5">
      <t>ハイトウシハラ</t>
    </rPh>
    <rPh sb="5" eb="7">
      <t>ホウホウ</t>
    </rPh>
    <phoneticPr fontId="1"/>
  </si>
  <si>
    <t>$年間払込保険料</t>
    <rPh sb="1" eb="8">
      <t>ネンカンハライコミホケンリョウ</t>
    </rPh>
    <phoneticPr fontId="1"/>
  </si>
  <si>
    <t>$年調対象配当金</t>
    <rPh sb="1" eb="2">
      <t>トシ</t>
    </rPh>
    <rPh sb="2" eb="3">
      <t>チョウ</t>
    </rPh>
    <rPh sb="3" eb="5">
      <t>タイショウ</t>
    </rPh>
    <rPh sb="5" eb="8">
      <t>ハイトウキン</t>
    </rPh>
    <phoneticPr fontId="1"/>
  </si>
  <si>
    <t>$差引保険料</t>
    <rPh sb="1" eb="2">
      <t>サ</t>
    </rPh>
    <rPh sb="2" eb="3">
      <t>ヒ</t>
    </rPh>
    <rPh sb="3" eb="6">
      <t>ホケンリョウ</t>
    </rPh>
    <phoneticPr fontId="1"/>
  </si>
  <si>
    <t>$差引保険料符号</t>
    <rPh sb="2" eb="7">
      <t>ホケンリョウフゴウ</t>
    </rPh>
    <phoneticPr fontId="1"/>
  </si>
  <si>
    <t>$消滅符号</t>
    <rPh sb="1" eb="5">
      <t>ショウメツフゴウ</t>
    </rPh>
    <phoneticPr fontId="1"/>
  </si>
  <si>
    <t>$保険料控除区分</t>
    <rPh sb="1" eb="8">
      <t>ホケンリョウコウジョクブン</t>
    </rPh>
    <phoneticPr fontId="1"/>
  </si>
  <si>
    <t>$年金支払開始</t>
    <rPh sb="1" eb="3">
      <t>ネンキン</t>
    </rPh>
    <rPh sb="3" eb="5">
      <t>シハラ</t>
    </rPh>
    <rPh sb="5" eb="7">
      <t>カイシ</t>
    </rPh>
    <phoneticPr fontId="1"/>
  </si>
  <si>
    <t>$所属コード</t>
    <rPh sb="1" eb="3">
      <t>ショゾク</t>
    </rPh>
    <phoneticPr fontId="1"/>
  </si>
  <si>
    <t>$ボーナス払区分</t>
    <rPh sb="5" eb="6">
      <t>バラ</t>
    </rPh>
    <rPh sb="6" eb="8">
      <t>クブン</t>
    </rPh>
    <phoneticPr fontId="1"/>
  </si>
  <si>
    <t>encoding</t>
    <phoneticPr fontId="1"/>
  </si>
  <si>
    <t>type</t>
    <phoneticPr fontId="1"/>
  </si>
  <si>
    <t>record</t>
    <phoneticPr fontId="1"/>
  </si>
  <si>
    <t>file</t>
    <phoneticPr fontId="1"/>
  </si>
  <si>
    <t>filename</t>
    <phoneticPr fontId="1"/>
  </si>
  <si>
    <t>JIS8</t>
    <phoneticPr fontId="1"/>
  </si>
  <si>
    <t>line</t>
    <phoneticPr fontId="1"/>
  </si>
  <si>
    <t>column_name</t>
    <phoneticPr fontId="1"/>
  </si>
  <si>
    <t>$対象年度</t>
    <rPh sb="1" eb="3">
      <t>タイショウ</t>
    </rPh>
    <rPh sb="3" eb="5">
      <t>ネンド</t>
    </rPh>
    <phoneticPr fontId="1"/>
  </si>
  <si>
    <t>sheet$fmt_jis8</t>
    <phoneticPr fontId="1"/>
  </si>
  <si>
    <t>sheet$fmt_ebcdic</t>
    <phoneticPr fontId="1"/>
  </si>
  <si>
    <t>EBCDIC</t>
    <phoneticPr fontId="1"/>
  </si>
  <si>
    <t>test2.DAT</t>
    <phoneticPr fontId="1"/>
  </si>
  <si>
    <t>test1.DAT</t>
    <phoneticPr fontId="1"/>
  </si>
  <si>
    <t>./output</t>
    <phoneticPr fontId="1"/>
  </si>
  <si>
    <t>output_dir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</si>
</sst>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49" fontId="0" fillId="0" borderId="0" xfId="0" applyNumberFormat="1"/>
    <xf numFmtId="0" fontId="3" fillId="0" borderId="0" xfId="0" applyFont="1"/>
    <xf numFmtId="0" fontId="2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2" fillId="4" borderId="0" xfId="0" applyFont="1" applyFill="1" applyBorder="1"/>
    <xf numFmtId="0" fontId="2" fillId="4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4" borderId="0" xfId="0" applyFont="1" applyFill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BDF7-2B26-40C3-9CF0-10860ADC71BF}">
  <dimension ref="A1:E5"/>
  <sheetViews>
    <sheetView workbookViewId="0">
      <pane ySplit="4" topLeftCell="A5" activePane="bottomLeft" state="frozen"/>
      <selection pane="bottomLeft" activeCell="C16" sqref="C16"/>
    </sheetView>
  </sheetViews>
  <sheetFormatPr defaultRowHeight="17.649999999999999"/>
  <cols>
    <col min="1" max="1" width="5.5" customWidth="1"/>
    <col min="2" max="2" width="10.125" bestFit="1" customWidth="1"/>
    <col min="3" max="3" width="14.375" bestFit="1" customWidth="1"/>
    <col min="4" max="4" width="17.25" bestFit="1" customWidth="1"/>
    <col min="5" max="5" width="11.875" bestFit="1" customWidth="1"/>
  </cols>
  <sheetData>
    <row r="1" spans="1:5">
      <c r="B1" s="1" t="s">
        <v>87</v>
      </c>
      <c r="C1" s="1" t="s">
        <v>64</v>
      </c>
    </row>
    <row r="2" spans="1:5">
      <c r="B2">
        <f>COUNTA(B5:B1048576)</f>
        <v>1</v>
      </c>
      <c r="C2" s="6">
        <f>COUNTA(C4:XFD4)</f>
        <v>2</v>
      </c>
    </row>
    <row r="3" spans="1:5">
      <c r="C3" s="1"/>
    </row>
    <row r="4" spans="1:5" s="3" customFormat="1">
      <c r="A4"/>
      <c r="B4" s="4" t="s">
        <v>64</v>
      </c>
      <c r="C4" s="2" t="s">
        <v>90</v>
      </c>
      <c r="D4" s="2" t="s">
        <v>91</v>
      </c>
      <c r="E4" s="2"/>
    </row>
    <row r="5" spans="1:5">
      <c r="B5">
        <v>1</v>
      </c>
      <c r="C5" t="s">
        <v>63</v>
      </c>
      <c r="D5" t="s">
        <v>63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6943-916E-4E61-92C0-C456ABB71864}">
  <sheetPr>
    <tabColor theme="4" tint="0.79998168889431442"/>
  </sheetPr>
  <dimension ref="A1:E5"/>
  <sheetViews>
    <sheetView workbookViewId="0">
      <pane ySplit="4" topLeftCell="A5" activePane="bottomLeft" state="frozen"/>
      <selection pane="bottomLeft" activeCell="D21" sqref="D21"/>
    </sheetView>
  </sheetViews>
  <sheetFormatPr defaultRowHeight="17.649999999999999"/>
  <cols>
    <col min="3" max="3" width="15.8125" style="10" bestFit="1" customWidth="1"/>
    <col min="4" max="4" width="9.1875" style="14" bestFit="1" customWidth="1"/>
    <col min="5" max="5" width="10.1875" style="14" bestFit="1" customWidth="1"/>
  </cols>
  <sheetData>
    <row r="1" spans="1:5">
      <c r="A1" s="1" t="s">
        <v>82</v>
      </c>
      <c r="B1" s="1" t="s">
        <v>87</v>
      </c>
      <c r="C1" s="7" t="s">
        <v>64</v>
      </c>
      <c r="D1" s="8"/>
      <c r="E1" s="8"/>
    </row>
    <row r="2" spans="1:5">
      <c r="A2" t="s">
        <v>84</v>
      </c>
      <c r="B2">
        <f>COUNTA(B5:B1048576)</f>
        <v>1</v>
      </c>
      <c r="C2" s="10">
        <f>COUNTA(C4:XFD4)</f>
        <v>3</v>
      </c>
      <c r="D2" s="8"/>
      <c r="E2" s="8"/>
    </row>
    <row r="4" spans="1:5">
      <c r="B4" s="4" t="s">
        <v>64</v>
      </c>
      <c r="C4" s="12" t="s">
        <v>85</v>
      </c>
      <c r="D4" s="15" t="s">
        <v>81</v>
      </c>
      <c r="E4" s="15" t="s">
        <v>96</v>
      </c>
    </row>
    <row r="5" spans="1:5">
      <c r="B5">
        <v>1</v>
      </c>
      <c r="C5" s="10" t="s">
        <v>94</v>
      </c>
      <c r="D5" s="14" t="s">
        <v>86</v>
      </c>
      <c r="E5" s="14" t="s">
        <v>95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A89B-789E-4AB3-9918-DF79D990A7BC}">
  <sheetPr>
    <tabColor theme="4" tint="0.79998168889431442"/>
  </sheetPr>
  <dimension ref="A1:E5"/>
  <sheetViews>
    <sheetView workbookViewId="0">
      <pane ySplit="4" topLeftCell="A5" activePane="bottomLeft" state="frozen"/>
      <selection pane="bottomLeft" activeCell="F18" sqref="F18"/>
    </sheetView>
  </sheetViews>
  <sheetFormatPr defaultRowHeight="17.649999999999999"/>
  <cols>
    <col min="3" max="3" width="15.8125" style="10" bestFit="1" customWidth="1"/>
    <col min="4" max="4" width="9.1875" style="14" bestFit="1" customWidth="1"/>
    <col min="5" max="5" width="10.1875" style="14" bestFit="1" customWidth="1"/>
  </cols>
  <sheetData>
    <row r="1" spans="1:5">
      <c r="A1" s="1" t="s">
        <v>82</v>
      </c>
      <c r="B1" s="1" t="s">
        <v>87</v>
      </c>
      <c r="C1" s="7" t="s">
        <v>64</v>
      </c>
      <c r="D1" s="8"/>
      <c r="E1" s="8"/>
    </row>
    <row r="2" spans="1:5">
      <c r="A2" t="s">
        <v>84</v>
      </c>
      <c r="B2">
        <f>COUNTA(B5:B1048576)</f>
        <v>1</v>
      </c>
      <c r="C2" s="10">
        <f>COUNTA(C4:XFD4)</f>
        <v>3</v>
      </c>
      <c r="D2" s="8"/>
      <c r="E2" s="8"/>
    </row>
    <row r="4" spans="1:5">
      <c r="B4" s="4" t="s">
        <v>64</v>
      </c>
      <c r="C4" s="12" t="s">
        <v>85</v>
      </c>
      <c r="D4" s="15" t="s">
        <v>81</v>
      </c>
      <c r="E4" s="15" t="s">
        <v>96</v>
      </c>
    </row>
    <row r="5" spans="1:5">
      <c r="B5">
        <v>1</v>
      </c>
      <c r="C5" s="10" t="s">
        <v>93</v>
      </c>
      <c r="D5" s="14" t="s">
        <v>92</v>
      </c>
      <c r="E5" s="14" t="s">
        <v>95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0F55-77C3-4B51-B74D-23ADC957D7C1}">
  <dimension ref="A1:E5"/>
  <sheetViews>
    <sheetView workbookViewId="0">
      <pane ySplit="4" topLeftCell="A5" activePane="bottomLeft" state="frozen"/>
      <selection pane="bottomLeft" activeCell="D28" sqref="D28"/>
    </sheetView>
  </sheetViews>
  <sheetFormatPr defaultRowHeight="17.649999999999999"/>
  <cols>
    <col min="1" max="1" width="5.5" customWidth="1"/>
    <col min="2" max="2" width="10.125" bestFit="1" customWidth="1"/>
    <col min="3" max="4" width="12.3125" bestFit="1" customWidth="1"/>
    <col min="5" max="5" width="11.875" bestFit="1" customWidth="1"/>
  </cols>
  <sheetData>
    <row r="1" spans="1:5">
      <c r="B1" s="1" t="s">
        <v>87</v>
      </c>
      <c r="C1" s="1" t="s">
        <v>64</v>
      </c>
    </row>
    <row r="2" spans="1:5">
      <c r="B2">
        <f>COUNTA(B5:B1048576)</f>
        <v>1</v>
      </c>
      <c r="C2" s="6">
        <f>COUNTA(C4:XFD4)</f>
        <v>3</v>
      </c>
    </row>
    <row r="3" spans="1:5">
      <c r="C3" s="1"/>
    </row>
    <row r="4" spans="1:5" s="3" customFormat="1">
      <c r="A4"/>
      <c r="B4" s="4" t="s">
        <v>64</v>
      </c>
      <c r="C4" s="2" t="s">
        <v>59</v>
      </c>
      <c r="D4" s="2" t="s">
        <v>60</v>
      </c>
      <c r="E4" s="2" t="s">
        <v>61</v>
      </c>
    </row>
    <row r="5" spans="1:5">
      <c r="B5" t="s">
        <v>13</v>
      </c>
      <c r="C5" t="s">
        <v>41</v>
      </c>
      <c r="D5" t="s">
        <v>42</v>
      </c>
      <c r="E5" t="s">
        <v>41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0696-2939-49C6-AD67-63B48B4FB5F4}">
  <sheetPr>
    <tabColor theme="4" tint="0.79998168889431442"/>
  </sheetPr>
  <dimension ref="A1:F19"/>
  <sheetViews>
    <sheetView workbookViewId="0">
      <pane ySplit="4" topLeftCell="A5" activePane="bottomLeft" state="frozen"/>
      <selection pane="bottomLeft" activeCell="E9" sqref="E9"/>
    </sheetView>
  </sheetViews>
  <sheetFormatPr defaultRowHeight="17.649999999999999"/>
  <cols>
    <col min="3" max="3" width="15.8125" style="10" bestFit="1" customWidth="1"/>
    <col min="4" max="4" width="9" style="11"/>
    <col min="5" max="5" width="9" style="9"/>
    <col min="6" max="6" width="21.1875" style="8" customWidth="1"/>
  </cols>
  <sheetData>
    <row r="1" spans="1:6">
      <c r="A1" s="1" t="s">
        <v>82</v>
      </c>
      <c r="B1" s="1" t="s">
        <v>87</v>
      </c>
      <c r="C1" s="7" t="s">
        <v>64</v>
      </c>
    </row>
    <row r="2" spans="1:6">
      <c r="A2" t="s">
        <v>83</v>
      </c>
      <c r="B2">
        <f>COUNTA(B5:B1048576)</f>
        <v>15</v>
      </c>
      <c r="C2" s="10">
        <f>COUNTA(C4:XFD4)</f>
        <v>4</v>
      </c>
    </row>
    <row r="4" spans="1:6">
      <c r="B4" s="4" t="s">
        <v>64</v>
      </c>
      <c r="C4" s="12" t="s">
        <v>88</v>
      </c>
      <c r="D4" s="13" t="s">
        <v>34</v>
      </c>
      <c r="E4" s="13" t="s">
        <v>29</v>
      </c>
      <c r="F4" s="12" t="s">
        <v>35</v>
      </c>
    </row>
    <row r="5" spans="1:6">
      <c r="B5">
        <v>1</v>
      </c>
      <c r="C5" s="10" t="s">
        <v>0</v>
      </c>
      <c r="D5" s="11">
        <v>1</v>
      </c>
      <c r="E5" s="11"/>
      <c r="F5" s="8">
        <v>2</v>
      </c>
    </row>
    <row r="6" spans="1:6">
      <c r="B6">
        <v>1</v>
      </c>
      <c r="C6" s="10" t="s">
        <v>1</v>
      </c>
      <c r="D6" s="11">
        <v>1</v>
      </c>
      <c r="E6" s="11"/>
      <c r="F6" s="8">
        <v>1</v>
      </c>
    </row>
    <row r="7" spans="1:6">
      <c r="B7">
        <v>1</v>
      </c>
      <c r="C7" s="10" t="s">
        <v>2</v>
      </c>
      <c r="D7" s="11">
        <v>1</v>
      </c>
      <c r="E7" s="11"/>
    </row>
    <row r="8" spans="1:6">
      <c r="B8">
        <v>1</v>
      </c>
      <c r="C8" s="10" t="s">
        <v>3</v>
      </c>
      <c r="D8" s="11">
        <v>10</v>
      </c>
      <c r="E8" s="11" t="s">
        <v>31</v>
      </c>
      <c r="F8" s="8" t="s">
        <v>36</v>
      </c>
    </row>
    <row r="9" spans="1:6">
      <c r="B9">
        <v>1</v>
      </c>
      <c r="C9" s="10" t="s">
        <v>4</v>
      </c>
      <c r="D9" s="11">
        <v>2</v>
      </c>
      <c r="E9" s="11" t="s">
        <v>31</v>
      </c>
      <c r="F9" s="8" t="s">
        <v>37</v>
      </c>
    </row>
    <row r="10" spans="1:6">
      <c r="B10">
        <v>1</v>
      </c>
      <c r="C10" s="10" t="s">
        <v>5</v>
      </c>
      <c r="D10" s="11">
        <v>2</v>
      </c>
      <c r="E10" s="11"/>
      <c r="F10" s="8" t="s">
        <v>38</v>
      </c>
    </row>
    <row r="11" spans="1:6">
      <c r="B11">
        <v>1</v>
      </c>
      <c r="C11" s="10" t="s">
        <v>6</v>
      </c>
      <c r="D11" s="11">
        <v>6</v>
      </c>
      <c r="E11" s="11"/>
      <c r="F11" s="8" t="s">
        <v>39</v>
      </c>
    </row>
    <row r="12" spans="1:6">
      <c r="B12">
        <v>1</v>
      </c>
      <c r="C12" s="10" t="s">
        <v>2</v>
      </c>
      <c r="D12" s="11">
        <v>23</v>
      </c>
      <c r="E12" s="11"/>
    </row>
    <row r="13" spans="1:6">
      <c r="B13">
        <v>1</v>
      </c>
      <c r="C13" s="10" t="s">
        <v>7</v>
      </c>
      <c r="D13" s="11">
        <v>2</v>
      </c>
      <c r="E13" s="11"/>
      <c r="F13" s="8">
        <v>33</v>
      </c>
    </row>
    <row r="14" spans="1:6">
      <c r="B14">
        <v>1</v>
      </c>
      <c r="C14" s="10" t="s">
        <v>8</v>
      </c>
      <c r="D14" s="11">
        <v>10</v>
      </c>
      <c r="E14" s="11" t="s">
        <v>31</v>
      </c>
      <c r="F14" s="8" t="s">
        <v>40</v>
      </c>
    </row>
    <row r="15" spans="1:6">
      <c r="B15">
        <v>1</v>
      </c>
      <c r="C15" s="10" t="s">
        <v>9</v>
      </c>
      <c r="D15" s="11">
        <v>1</v>
      </c>
      <c r="E15" s="11"/>
      <c r="F15" s="8">
        <v>0</v>
      </c>
    </row>
    <row r="16" spans="1:6">
      <c r="B16">
        <v>1</v>
      </c>
      <c r="C16" s="10" t="s">
        <v>10</v>
      </c>
      <c r="D16" s="11">
        <v>2</v>
      </c>
      <c r="E16" s="11"/>
      <c r="F16" s="8">
        <v>82</v>
      </c>
    </row>
    <row r="17" spans="2:6">
      <c r="B17">
        <v>1</v>
      </c>
      <c r="C17" s="10" t="s">
        <v>11</v>
      </c>
      <c r="D17" s="11">
        <v>1</v>
      </c>
      <c r="E17" s="11"/>
      <c r="F17" s="8">
        <v>0</v>
      </c>
    </row>
    <row r="18" spans="2:6">
      <c r="B18">
        <v>1</v>
      </c>
      <c r="C18" s="10" t="s">
        <v>12</v>
      </c>
      <c r="D18" s="11">
        <v>20</v>
      </c>
      <c r="E18" s="11"/>
    </row>
    <row r="19" spans="2:6">
      <c r="B19">
        <v>1</v>
      </c>
      <c r="C19" s="10" t="s">
        <v>2</v>
      </c>
      <c r="D19" s="11">
        <v>18</v>
      </c>
      <c r="E19" s="11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0B47-2C77-459C-AACA-38A4F4D7880F}">
  <sheetPr>
    <tabColor theme="4" tint="0.79998168889431442"/>
  </sheetPr>
  <dimension ref="A1:Z24"/>
  <sheetViews>
    <sheetView workbookViewId="0">
      <pane ySplit="4" topLeftCell="A5" activePane="bottomLeft" state="frozen"/>
      <selection pane="bottomLeft" activeCell="E9" sqref="E9"/>
    </sheetView>
  </sheetViews>
  <sheetFormatPr defaultRowHeight="17.649999999999999"/>
  <cols>
    <col min="3" max="3" width="15.8125" style="10" bestFit="1" customWidth="1"/>
    <col min="4" max="4" width="9" style="11"/>
    <col min="5" max="5" width="9" style="9"/>
    <col min="6" max="6" width="27.5" style="8" customWidth="1"/>
  </cols>
  <sheetData>
    <row r="1" spans="1:26">
      <c r="A1" s="1" t="s">
        <v>82</v>
      </c>
      <c r="B1" s="1" t="s">
        <v>87</v>
      </c>
      <c r="C1" s="7" t="s">
        <v>64</v>
      </c>
    </row>
    <row r="2" spans="1:26">
      <c r="A2" t="s">
        <v>83</v>
      </c>
      <c r="B2">
        <f>COUNTA(B5:B1048576)</f>
        <v>20</v>
      </c>
      <c r="C2" s="10">
        <f>COUNTA(C4:XFD4)</f>
        <v>4</v>
      </c>
    </row>
    <row r="4" spans="1:26">
      <c r="B4" s="4" t="s">
        <v>64</v>
      </c>
      <c r="C4" s="12" t="s">
        <v>88</v>
      </c>
      <c r="D4" s="13" t="s">
        <v>34</v>
      </c>
      <c r="E4" s="13" t="s">
        <v>29</v>
      </c>
      <c r="F4" s="12" t="s">
        <v>35</v>
      </c>
    </row>
    <row r="5" spans="1:26">
      <c r="B5">
        <v>1</v>
      </c>
      <c r="C5" s="10" t="s">
        <v>0</v>
      </c>
      <c r="D5" s="11">
        <v>1</v>
      </c>
      <c r="E5" s="11"/>
      <c r="F5" s="8">
        <v>2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B6">
        <v>1</v>
      </c>
      <c r="C6" s="10" t="s">
        <v>1</v>
      </c>
      <c r="D6" s="11">
        <v>1</v>
      </c>
      <c r="E6" s="11"/>
      <c r="F6" s="8">
        <v>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B7">
        <v>1</v>
      </c>
      <c r="C7" s="10" t="s">
        <v>2</v>
      </c>
      <c r="D7" s="11">
        <v>1</v>
      </c>
      <c r="E7" s="11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B8">
        <v>1</v>
      </c>
      <c r="C8" s="10" t="s">
        <v>14</v>
      </c>
      <c r="D8" s="11">
        <v>10</v>
      </c>
      <c r="E8" s="11" t="s">
        <v>31</v>
      </c>
      <c r="F8" s="8" t="s">
        <v>44</v>
      </c>
      <c r="H8" s="6"/>
    </row>
    <row r="9" spans="1:26">
      <c r="B9">
        <v>1</v>
      </c>
      <c r="C9" s="10" t="s">
        <v>4</v>
      </c>
      <c r="D9" s="11">
        <v>2</v>
      </c>
      <c r="E9" s="11" t="s">
        <v>31</v>
      </c>
      <c r="F9" s="8" t="s">
        <v>45</v>
      </c>
      <c r="H9" s="6"/>
    </row>
    <row r="10" spans="1:26">
      <c r="B10">
        <v>1</v>
      </c>
      <c r="C10" s="10" t="s">
        <v>15</v>
      </c>
      <c r="D10" s="11">
        <v>13</v>
      </c>
      <c r="E10" s="11" t="s">
        <v>31</v>
      </c>
      <c r="F10" s="8" t="s">
        <v>46</v>
      </c>
      <c r="H10" s="6"/>
    </row>
    <row r="11" spans="1:26">
      <c r="B11">
        <v>1</v>
      </c>
      <c r="C11" s="10" t="s">
        <v>16</v>
      </c>
      <c r="D11" s="11">
        <v>2</v>
      </c>
      <c r="E11" s="11" t="s">
        <v>31</v>
      </c>
      <c r="F11" s="8" t="s">
        <v>47</v>
      </c>
      <c r="H11" s="6"/>
    </row>
    <row r="12" spans="1:26">
      <c r="B12">
        <v>1</v>
      </c>
      <c r="C12" s="10" t="s">
        <v>17</v>
      </c>
      <c r="D12" s="11">
        <v>2</v>
      </c>
      <c r="E12" s="11" t="s">
        <v>31</v>
      </c>
      <c r="F12" s="8" t="s">
        <v>48</v>
      </c>
      <c r="H12" s="6"/>
    </row>
    <row r="13" spans="1:26">
      <c r="B13">
        <v>1</v>
      </c>
      <c r="C13" s="10" t="s">
        <v>18</v>
      </c>
      <c r="D13" s="11">
        <v>1</v>
      </c>
      <c r="E13" s="11"/>
      <c r="F13" s="8" t="s">
        <v>49</v>
      </c>
      <c r="H13" s="6"/>
    </row>
    <row r="14" spans="1:26">
      <c r="B14">
        <v>1</v>
      </c>
      <c r="C14" s="10" t="s">
        <v>19</v>
      </c>
      <c r="D14" s="11">
        <v>7</v>
      </c>
      <c r="E14" s="11" t="s">
        <v>31</v>
      </c>
      <c r="F14" s="8" t="s">
        <v>50</v>
      </c>
      <c r="H14" s="6"/>
    </row>
    <row r="15" spans="1:26">
      <c r="B15">
        <v>1</v>
      </c>
      <c r="C15" s="10" t="s">
        <v>20</v>
      </c>
      <c r="D15" s="11">
        <v>7</v>
      </c>
      <c r="E15" s="11" t="s">
        <v>31</v>
      </c>
      <c r="F15" s="8" t="s">
        <v>51</v>
      </c>
      <c r="H15" s="6"/>
    </row>
    <row r="16" spans="1:26">
      <c r="B16">
        <v>1</v>
      </c>
      <c r="C16" s="10" t="s">
        <v>21</v>
      </c>
      <c r="D16" s="11">
        <v>7</v>
      </c>
      <c r="E16" s="11" t="s">
        <v>31</v>
      </c>
      <c r="F16" s="8" t="s">
        <v>52</v>
      </c>
      <c r="H16" s="6"/>
    </row>
    <row r="17" spans="2:8">
      <c r="B17">
        <v>1</v>
      </c>
      <c r="C17" s="10" t="s">
        <v>23</v>
      </c>
      <c r="D17" s="11">
        <v>1</v>
      </c>
      <c r="E17" s="11"/>
      <c r="F17" s="8" t="s">
        <v>53</v>
      </c>
      <c r="H17" s="6"/>
    </row>
    <row r="18" spans="2:8">
      <c r="B18">
        <v>1</v>
      </c>
      <c r="C18" s="10" t="s">
        <v>24</v>
      </c>
      <c r="D18" s="11">
        <v>1</v>
      </c>
      <c r="E18" s="11"/>
      <c r="F18" s="8" t="s">
        <v>54</v>
      </c>
      <c r="H18" s="6"/>
    </row>
    <row r="19" spans="2:8">
      <c r="B19">
        <v>1</v>
      </c>
      <c r="C19" s="10" t="s">
        <v>25</v>
      </c>
      <c r="D19" s="11">
        <v>1</v>
      </c>
      <c r="E19" s="11"/>
      <c r="F19" s="8" t="s">
        <v>55</v>
      </c>
      <c r="H19" s="6"/>
    </row>
    <row r="20" spans="2:8">
      <c r="B20">
        <v>1</v>
      </c>
      <c r="C20" s="10" t="s">
        <v>26</v>
      </c>
      <c r="D20" s="11">
        <v>6</v>
      </c>
      <c r="E20" s="11"/>
      <c r="F20" s="8" t="s">
        <v>56</v>
      </c>
      <c r="H20" s="6"/>
    </row>
    <row r="21" spans="2:8">
      <c r="B21">
        <v>1</v>
      </c>
      <c r="C21" s="10" t="s">
        <v>33</v>
      </c>
      <c r="D21" s="11">
        <v>9</v>
      </c>
      <c r="E21" s="11"/>
      <c r="H21" s="6"/>
    </row>
    <row r="22" spans="2:8">
      <c r="B22">
        <v>1</v>
      </c>
      <c r="C22" s="10" t="s">
        <v>27</v>
      </c>
      <c r="D22" s="11">
        <v>10</v>
      </c>
      <c r="E22" s="11" t="s">
        <v>31</v>
      </c>
      <c r="F22" s="8" t="s">
        <v>57</v>
      </c>
      <c r="H22" s="6"/>
    </row>
    <row r="23" spans="2:8">
      <c r="B23">
        <v>1</v>
      </c>
      <c r="C23" s="10" t="s">
        <v>2</v>
      </c>
      <c r="D23" s="11">
        <v>17</v>
      </c>
      <c r="E23" s="11"/>
    </row>
    <row r="24" spans="2:8">
      <c r="B24">
        <v>1</v>
      </c>
      <c r="C24" s="10" t="s">
        <v>28</v>
      </c>
      <c r="D24" s="11">
        <v>1</v>
      </c>
      <c r="E24" s="11"/>
      <c r="F24" s="8" t="s">
        <v>58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87C77-A231-4530-BE46-500D118DCA90}">
  <sheetPr>
    <tabColor theme="4" tint="0.79998168889431442"/>
  </sheetPr>
  <dimension ref="A1:Z13"/>
  <sheetViews>
    <sheetView workbookViewId="0">
      <pane ySplit="4" topLeftCell="A5" activePane="bottomLeft" state="frozen"/>
      <selection pane="bottomLeft" activeCell="E9" sqref="E9"/>
    </sheetView>
  </sheetViews>
  <sheetFormatPr defaultRowHeight="17.649999999999999"/>
  <cols>
    <col min="3" max="3" width="15.8125" style="10" bestFit="1" customWidth="1"/>
    <col min="4" max="4" width="9" style="11"/>
    <col min="5" max="5" width="9" style="9"/>
    <col min="6" max="6" width="24.9375" style="8" customWidth="1"/>
  </cols>
  <sheetData>
    <row r="1" spans="1:26">
      <c r="A1" s="1" t="s">
        <v>82</v>
      </c>
      <c r="B1" s="1" t="s">
        <v>87</v>
      </c>
      <c r="C1" s="7" t="s">
        <v>64</v>
      </c>
      <c r="D1" s="8"/>
    </row>
    <row r="2" spans="1:26">
      <c r="A2" t="s">
        <v>83</v>
      </c>
      <c r="B2">
        <f>COUNTA(B5:B1048576)</f>
        <v>9</v>
      </c>
      <c r="C2" s="10">
        <f>COUNTA(C4:XFD4)</f>
        <v>4</v>
      </c>
      <c r="D2" s="8"/>
    </row>
    <row r="4" spans="1:26">
      <c r="B4" s="4" t="s">
        <v>64</v>
      </c>
      <c r="C4" s="12" t="s">
        <v>88</v>
      </c>
      <c r="D4" s="13" t="s">
        <v>34</v>
      </c>
      <c r="E4" s="13" t="s">
        <v>29</v>
      </c>
      <c r="F4" s="12" t="s">
        <v>35</v>
      </c>
    </row>
    <row r="5" spans="1:26">
      <c r="B5">
        <v>1</v>
      </c>
      <c r="C5" s="10" t="s">
        <v>0</v>
      </c>
      <c r="D5" s="11">
        <v>1</v>
      </c>
      <c r="E5" s="11"/>
      <c r="F5" s="8">
        <v>2</v>
      </c>
      <c r="G5" s="6"/>
      <c r="H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B6">
        <v>1</v>
      </c>
      <c r="C6" s="10" t="s">
        <v>1</v>
      </c>
      <c r="D6" s="11">
        <v>1</v>
      </c>
      <c r="E6" s="11"/>
      <c r="F6" s="8">
        <v>3</v>
      </c>
      <c r="G6" s="6"/>
      <c r="H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B7">
        <v>1</v>
      </c>
      <c r="C7" s="10" t="s">
        <v>2</v>
      </c>
      <c r="D7" s="11">
        <v>1</v>
      </c>
      <c r="E7" s="11"/>
      <c r="G7" s="6"/>
      <c r="H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B8">
        <v>1</v>
      </c>
      <c r="C8" s="10" t="s">
        <v>3</v>
      </c>
      <c r="D8" s="11">
        <v>10</v>
      </c>
      <c r="E8" s="11" t="s">
        <v>30</v>
      </c>
      <c r="F8" s="8" t="s">
        <v>36</v>
      </c>
      <c r="G8" s="6"/>
      <c r="H8" s="6"/>
    </row>
    <row r="9" spans="1:26">
      <c r="B9">
        <v>1</v>
      </c>
      <c r="C9" s="10" t="s">
        <v>4</v>
      </c>
      <c r="D9" s="11">
        <v>2</v>
      </c>
      <c r="E9" s="11" t="s">
        <v>31</v>
      </c>
      <c r="F9" s="8" t="s">
        <v>37</v>
      </c>
      <c r="G9" s="6"/>
      <c r="H9" s="6"/>
    </row>
    <row r="10" spans="1:26">
      <c r="B10">
        <v>1</v>
      </c>
      <c r="C10" s="10" t="s">
        <v>32</v>
      </c>
      <c r="D10" s="11">
        <v>7</v>
      </c>
      <c r="E10" s="11" t="s">
        <v>30</v>
      </c>
      <c r="F10" s="8" t="s">
        <v>62</v>
      </c>
      <c r="G10" s="6"/>
      <c r="H10" s="6"/>
    </row>
    <row r="11" spans="1:26">
      <c r="B11">
        <v>1</v>
      </c>
      <c r="C11" s="10" t="s">
        <v>2</v>
      </c>
      <c r="D11" s="11">
        <v>40</v>
      </c>
      <c r="E11" s="11"/>
      <c r="G11" s="6"/>
      <c r="H11" s="6"/>
    </row>
    <row r="12" spans="1:26">
      <c r="B12">
        <v>1</v>
      </c>
      <c r="C12" s="10" t="s">
        <v>33</v>
      </c>
      <c r="D12" s="11">
        <v>20</v>
      </c>
      <c r="E12" s="11"/>
      <c r="G12" s="6"/>
      <c r="H12" s="6"/>
    </row>
    <row r="13" spans="1:26">
      <c r="B13">
        <v>1</v>
      </c>
      <c r="C13" s="10" t="s">
        <v>2</v>
      </c>
      <c r="D13" s="11">
        <v>18</v>
      </c>
      <c r="E13" s="11"/>
      <c r="G13" s="6"/>
      <c r="H13" s="6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32DD-564C-445F-A680-02798F736DF0}">
  <dimension ref="A1:H5"/>
  <sheetViews>
    <sheetView tabSelected="1" workbookViewId="0">
      <pane ySplit="4" topLeftCell="A5" activePane="bottomLeft" state="frozen"/>
      <selection pane="bottomLeft" activeCell="C5" sqref="C5"/>
    </sheetView>
  </sheetViews>
  <sheetFormatPr defaultRowHeight="17.649999999999999"/>
  <cols>
    <col min="2" max="2" width="10.125" bestFit="1" customWidth="1"/>
    <col min="3" max="3" width="11.3125" bestFit="1" customWidth="1"/>
    <col min="4" max="5" width="11.375" bestFit="1" customWidth="1"/>
    <col min="6" max="6" width="13.3125" bestFit="1" customWidth="1"/>
    <col min="7" max="8" width="17.125" bestFit="1" customWidth="1"/>
  </cols>
  <sheetData>
    <row r="1" spans="1:8">
      <c r="B1" s="1" t="s">
        <v>87</v>
      </c>
      <c r="C1" s="1" t="s">
        <v>64</v>
      </c>
    </row>
    <row r="2" spans="1:8">
      <c r="B2">
        <f>COUNTA(B5:B1048576)</f>
        <v>1</v>
      </c>
      <c r="C2" s="6">
        <f>COUNTA(C4:XFD4)</f>
        <v>6</v>
      </c>
    </row>
    <row r="3" spans="1:8">
      <c r="C3" s="6"/>
    </row>
    <row r="4" spans="1:8" s="2" customFormat="1">
      <c r="A4" s="1"/>
      <c r="B4" s="4" t="s">
        <v>64</v>
      </c>
      <c r="C4" s="2" t="s">
        <v>62</v>
      </c>
      <c r="D4" s="2" t="s">
        <v>36</v>
      </c>
      <c r="E4" s="2" t="s">
        <v>37</v>
      </c>
      <c r="F4" s="2" t="s">
        <v>89</v>
      </c>
      <c r="G4" s="2" t="s">
        <v>65</v>
      </c>
      <c r="H4" s="2" t="s">
        <v>66</v>
      </c>
    </row>
    <row r="5" spans="1:8">
      <c r="B5">
        <v>1</v>
      </c>
      <c r="C5">
        <f>'01_d'!B2</f>
        <v>2</v>
      </c>
      <c r="D5">
        <v>100001</v>
      </c>
      <c r="E5">
        <v>1</v>
      </c>
      <c r="F5">
        <v>25</v>
      </c>
      <c r="G5">
        <v>250101</v>
      </c>
      <c r="H5">
        <v>200001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3618-6B0B-474C-86F3-6B55F6CF371B}">
  <dimension ref="A1:Q6"/>
  <sheetViews>
    <sheetView zoomScale="70" zoomScaleNormal="70" workbookViewId="0">
      <pane ySplit="4" topLeftCell="A5" activePane="bottomLeft" state="frozen"/>
      <selection pane="bottomLeft" activeCell="K38" sqref="K38"/>
    </sheetView>
  </sheetViews>
  <sheetFormatPr defaultRowHeight="17.649999999999999"/>
  <cols>
    <col min="2" max="2" width="10" bestFit="1" customWidth="1"/>
    <col min="3" max="4" width="11.875" bestFit="1" customWidth="1"/>
    <col min="5" max="5" width="13.875" bestFit="1" customWidth="1"/>
    <col min="6" max="7" width="9.875" bestFit="1" customWidth="1"/>
    <col min="8" max="8" width="13.875" bestFit="1" customWidth="1"/>
    <col min="9" max="10" width="15.875" bestFit="1" customWidth="1"/>
    <col min="11" max="11" width="11.875" bestFit="1" customWidth="1"/>
    <col min="12" max="12" width="15.875" bestFit="1" customWidth="1"/>
    <col min="13" max="13" width="9.875" bestFit="1" customWidth="1"/>
    <col min="14" max="14" width="15.875" bestFit="1" customWidth="1"/>
    <col min="15" max="15" width="13.875" bestFit="1" customWidth="1"/>
    <col min="16" max="16" width="11.875" bestFit="1" customWidth="1"/>
    <col min="17" max="17" width="15.875" bestFit="1" customWidth="1"/>
  </cols>
  <sheetData>
    <row r="1" spans="1:17">
      <c r="B1" s="1" t="s">
        <v>87</v>
      </c>
      <c r="C1" s="1" t="s">
        <v>64</v>
      </c>
    </row>
    <row r="2" spans="1:17">
      <c r="B2">
        <f>COUNTA(B5:B1048576)</f>
        <v>2</v>
      </c>
      <c r="C2" s="6">
        <f>COUNTA(C4:XFD4)</f>
        <v>15</v>
      </c>
    </row>
    <row r="3" spans="1:17">
      <c r="C3" s="1"/>
    </row>
    <row r="4" spans="1:17" s="2" customFormat="1">
      <c r="A4" s="1"/>
      <c r="B4" s="4" t="s">
        <v>64</v>
      </c>
      <c r="C4" s="2" t="s">
        <v>67</v>
      </c>
      <c r="D4" s="2" t="s">
        <v>37</v>
      </c>
      <c r="E4" s="2" t="s">
        <v>68</v>
      </c>
      <c r="F4" s="2" t="s">
        <v>69</v>
      </c>
      <c r="G4" s="2" t="s">
        <v>70</v>
      </c>
      <c r="H4" s="2" t="s">
        <v>71</v>
      </c>
      <c r="I4" s="2" t="s">
        <v>72</v>
      </c>
      <c r="J4" s="2" t="s">
        <v>73</v>
      </c>
      <c r="K4" s="2" t="s">
        <v>74</v>
      </c>
      <c r="L4" s="2" t="s">
        <v>75</v>
      </c>
      <c r="M4" s="2" t="s">
        <v>76</v>
      </c>
      <c r="N4" s="2" t="s">
        <v>77</v>
      </c>
      <c r="O4" s="2" t="s">
        <v>78</v>
      </c>
      <c r="P4" s="2" t="s">
        <v>79</v>
      </c>
      <c r="Q4" s="2" t="s">
        <v>80</v>
      </c>
    </row>
    <row r="5" spans="1:17">
      <c r="B5">
        <v>1</v>
      </c>
      <c r="C5" s="5" t="s">
        <v>22</v>
      </c>
      <c r="D5">
        <v>1</v>
      </c>
      <c r="E5">
        <v>2001000001</v>
      </c>
      <c r="F5">
        <v>1</v>
      </c>
      <c r="G5">
        <v>99</v>
      </c>
      <c r="H5">
        <v>1</v>
      </c>
      <c r="I5">
        <v>60000</v>
      </c>
      <c r="J5">
        <v>0</v>
      </c>
      <c r="K5">
        <v>60000</v>
      </c>
      <c r="L5">
        <v>0</v>
      </c>
      <c r="M5">
        <v>0</v>
      </c>
      <c r="N5">
        <v>0</v>
      </c>
      <c r="P5">
        <v>1</v>
      </c>
      <c r="Q5">
        <v>0</v>
      </c>
    </row>
    <row r="6" spans="1:17">
      <c r="B6">
        <v>2</v>
      </c>
      <c r="C6" s="5" t="s">
        <v>43</v>
      </c>
      <c r="D6">
        <v>1</v>
      </c>
      <c r="E6">
        <v>2001000001</v>
      </c>
      <c r="F6">
        <v>1</v>
      </c>
      <c r="G6">
        <v>99</v>
      </c>
      <c r="H6">
        <v>1</v>
      </c>
      <c r="I6">
        <v>60000</v>
      </c>
      <c r="J6">
        <v>0</v>
      </c>
      <c r="K6">
        <v>60000</v>
      </c>
      <c r="L6">
        <v>0</v>
      </c>
      <c r="M6">
        <v>0</v>
      </c>
      <c r="N6">
        <v>0</v>
      </c>
      <c r="P6">
        <v>1</v>
      </c>
      <c r="Q6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root</vt:lpstr>
      <vt:lpstr>fmt_jis8</vt:lpstr>
      <vt:lpstr>fmt_ebcdic</vt:lpstr>
      <vt:lpstr>group</vt:lpstr>
      <vt:lpstr>fmt_h</vt:lpstr>
      <vt:lpstr>fmt_d</vt:lpstr>
      <vt:lpstr>fmt_t</vt:lpstr>
      <vt:lpstr>01_h</vt:lpstr>
      <vt:lpstr>01_d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藤森崇之</dc:creator>
  <cp:lastModifiedBy>崇之 藤森</cp:lastModifiedBy>
  <dcterms:created xsi:type="dcterms:W3CDTF">2015-06-05T18:19:34Z</dcterms:created>
  <dcterms:modified xsi:type="dcterms:W3CDTF">2025-07-16T12:12:28Z</dcterms:modified>
</cp:coreProperties>
</file>